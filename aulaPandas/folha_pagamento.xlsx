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_Pag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<sst xmlns="http://schemas.openxmlformats.org/spreadsheetml/2006/main" count="114" uniqueCount="85">
  <si>
    <t xml:space="preserve">ID</t>
  </si>
  <si>
    <t xml:space="preserve">Nome</t>
  </si>
  <si>
    <t xml:space="preserve">Cargo</t>
  </si>
  <si>
    <t xml:space="preserve">Departamento</t>
  </si>
  <si>
    <t xml:space="preserve">Data_Admissao</t>
  </si>
  <si>
    <t xml:space="preserve">Salario_Base</t>
  </si>
  <si>
    <t xml:space="preserve">Horas_Extra</t>
  </si>
  <si>
    <t xml:space="preserve">Valor_Hora_Extra</t>
  </si>
  <si>
    <t xml:space="preserve">Total_Horas_Extra</t>
  </si>
  <si>
    <t xml:space="preserve">Bonus</t>
  </si>
  <si>
    <t xml:space="preserve">Total_Proventos</t>
  </si>
  <si>
    <t xml:space="preserve">INSS</t>
  </si>
  <si>
    <t xml:space="preserve">Base_IRRF</t>
  </si>
  <si>
    <t xml:space="preserve">IRRF</t>
  </si>
  <si>
    <t xml:space="preserve">Vale_Transporte</t>
  </si>
  <si>
    <t xml:space="preserve">Outros_Descontos</t>
  </si>
  <si>
    <t xml:space="preserve">Total_Descontos</t>
  </si>
  <si>
    <t xml:space="preserve">Salario_Liquido</t>
  </si>
  <si>
    <t xml:space="preserve">Ana Beatriz Souza</t>
  </si>
  <si>
    <t xml:space="preserve">Analista Financeiro</t>
  </si>
  <si>
    <t xml:space="preserve">Financeiro</t>
  </si>
  <si>
    <t xml:space="preserve">Bruno Henrique Lima</t>
  </si>
  <si>
    <t xml:space="preserve">Assistente Administrativo</t>
  </si>
  <si>
    <t xml:space="preserve">Recursos Humanos</t>
  </si>
  <si>
    <t xml:space="preserve">Carla Dias Ferreira</t>
  </si>
  <si>
    <t xml:space="preserve">Coordenadora de RH</t>
  </si>
  <si>
    <t xml:space="preserve">Daniel Oliveira Costa</t>
  </si>
  <si>
    <t xml:space="preserve">Desenvolvedor Backend</t>
  </si>
  <si>
    <t xml:space="preserve">Tecnologia</t>
  </si>
  <si>
    <t xml:space="preserve">Eduarda Reis Martins</t>
  </si>
  <si>
    <t xml:space="preserve">Desenvolvedora Frontend</t>
  </si>
  <si>
    <t xml:space="preserve">Fernando Melo Alves</t>
  </si>
  <si>
    <t xml:space="preserve">Gerente de Tecnologia</t>
  </si>
  <si>
    <t xml:space="preserve">Gabriela Prado Nunes</t>
  </si>
  <si>
    <t xml:space="preserve">Analista de Marketing</t>
  </si>
  <si>
    <t xml:space="preserve">Marketing</t>
  </si>
  <si>
    <t xml:space="preserve">Helena Costa Barbosa</t>
  </si>
  <si>
    <t xml:space="preserve">Coordenadora de Marketing</t>
  </si>
  <si>
    <t xml:space="preserve">Igor Alves Teixeira</t>
  </si>
  <si>
    <t xml:space="preserve">Analista de Vendas</t>
  </si>
  <si>
    <t xml:space="preserve">Vendas</t>
  </si>
  <si>
    <t xml:space="preserve">Julia Prado Rocha</t>
  </si>
  <si>
    <t xml:space="preserve">Vendedora Sênior</t>
  </si>
  <si>
    <t xml:space="preserve">Karen Nunes Andrade</t>
  </si>
  <si>
    <t xml:space="preserve">Gerente de Vendas</t>
  </si>
  <si>
    <t xml:space="preserve">Leonardo Souza Pinto</t>
  </si>
  <si>
    <t xml:space="preserve">Analista de Operações</t>
  </si>
  <si>
    <t xml:space="preserve">Operações</t>
  </si>
  <si>
    <t xml:space="preserve">Mariana Lima Ribeiro</t>
  </si>
  <si>
    <t xml:space="preserve">Assistente de Operações</t>
  </si>
  <si>
    <t xml:space="preserve">Nicolas Ferreira Dias</t>
  </si>
  <si>
    <t xml:space="preserve">Coordenador de Operações</t>
  </si>
  <si>
    <t xml:space="preserve">Olivia Martins Costa</t>
  </si>
  <si>
    <t xml:space="preserve">Estagiária de Marketing</t>
  </si>
  <si>
    <t xml:space="preserve">Pedro Alves Rocha</t>
  </si>
  <si>
    <t xml:space="preserve">Estagiário de Tecnologia</t>
  </si>
  <si>
    <t xml:space="preserve">Queila Barbosa Souza</t>
  </si>
  <si>
    <t xml:space="preserve">Rafael Costa Nunes</t>
  </si>
  <si>
    <t xml:space="preserve">Assistente Financeiro</t>
  </si>
  <si>
    <t xml:space="preserve">Sofia Andrade Melo</t>
  </si>
  <si>
    <t xml:space="preserve">Gerente Financeiro</t>
  </si>
  <si>
    <t xml:space="preserve">Thiago Pinto Alves</t>
  </si>
  <si>
    <t xml:space="preserve">Desenvolvedor Fullstack</t>
  </si>
  <si>
    <t xml:space="preserve">Vitoria Ribeiro Lima</t>
  </si>
  <si>
    <t xml:space="preserve">Analista de RH</t>
  </si>
  <si>
    <t xml:space="preserve">William Dias Martins</t>
  </si>
  <si>
    <t xml:space="preserve">Diretor de Operações</t>
  </si>
  <si>
    <t xml:space="preserve">Ximena Costa Alves</t>
  </si>
  <si>
    <t xml:space="preserve">Yasmin Souza Barbosa</t>
  </si>
  <si>
    <t xml:space="preserve">Assistente de Vendas</t>
  </si>
  <si>
    <t xml:space="preserve">Zeca Ferreira Nunes</t>
  </si>
  <si>
    <t xml:space="preserve">Amanda Rocha Pinto</t>
  </si>
  <si>
    <t xml:space="preserve">Coordenadora Financeira</t>
  </si>
  <si>
    <t xml:space="preserve">Bernardo Lima Costa</t>
  </si>
  <si>
    <t xml:space="preserve">Camila Nunes Dias</t>
  </si>
  <si>
    <t xml:space="preserve">Diego Martins Souza</t>
  </si>
  <si>
    <t xml:space="preserve">Vendedor Júnior</t>
  </si>
  <si>
    <t xml:space="preserve">Elisa Alves Ferreira</t>
  </si>
  <si>
    <t xml:space="preserve">Diretora de Marketing</t>
  </si>
  <si>
    <t xml:space="preserve">TOTAL</t>
  </si>
  <si>
    <t xml:space="preserve">Premissas (taxas simplificadas para fins didáticos)</t>
  </si>
  <si>
    <t xml:space="preserve">Alíquota INSS (simplificada)</t>
  </si>
  <si>
    <t xml:space="preserve">Alíquota IRRF (simplificada)</t>
  </si>
  <si>
    <t xml:space="preserve">Alíquota Vale-Transporte</t>
  </si>
  <si>
    <t xml:space="preserve">Nota: INSS e IRRF reais seguem tabelas progressivas por faixa; aqui foram simplificados para uma alíquota única, apenas para fins de exemplo/prática.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</si>
</sst>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8" min="15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2" t="s">
        <v>18</v>
      </c>
      <c r="C2" s="2" t="s">
        <v>19</v>
      </c>
      <c r="D2" s="2" t="s">
        <v>20</v>
      </c>
      <c r="E2" s="3" t="n">
        <v>44270</v>
      </c>
      <c r="F2" s="4" t="n">
        <v>5800</v>
      </c>
      <c r="G2" s="2" t="n">
        <v>4</v>
      </c>
      <c r="H2" s="5" t="n">
        <f aca="false">F2/220*1.5</f>
        <v>39.5454545454546</v>
      </c>
      <c r="I2" s="5" t="n">
        <f aca="false">G2*H2</f>
        <v>158.181818181818</v>
      </c>
      <c r="J2" s="4" t="n">
        <v>600</v>
      </c>
      <c r="K2" s="5" t="n">
        <f aca="false">F2+I2+J2</f>
        <v>6558.18181818182</v>
      </c>
      <c r="L2" s="5" t="n">
        <f aca="false">K2*$B$35</f>
        <v>590.236363636364</v>
      </c>
      <c r="M2" s="5" t="n">
        <f aca="false">K2-L2</f>
        <v>5967.94545454546</v>
      </c>
      <c r="N2" s="5" t="n">
        <f aca="false">M2*$B$36</f>
        <v>447.595909090909</v>
      </c>
      <c r="O2" s="5" t="n">
        <f aca="false">F2*$B$37</f>
        <v>348</v>
      </c>
      <c r="P2" s="4" t="n">
        <v>0</v>
      </c>
      <c r="Q2" s="5" t="n">
        <f aca="false">L2+N2+O2+P2</f>
        <v>1385.83227272727</v>
      </c>
      <c r="R2" s="5" t="n">
        <f aca="false">K2-Q2</f>
        <v>5172.34954545455</v>
      </c>
    </row>
    <row r="3" customFormat="false" ht="15" hidden="false" customHeight="false" outlineLevel="0" collapsed="false">
      <c r="A3" s="2" t="n">
        <v>2</v>
      </c>
      <c r="B3" s="2" t="s">
        <v>21</v>
      </c>
      <c r="C3" s="2" t="s">
        <v>22</v>
      </c>
      <c r="D3" s="2" t="s">
        <v>23</v>
      </c>
      <c r="E3" s="3" t="n">
        <v>44743</v>
      </c>
      <c r="F3" s="4" t="n">
        <v>3200</v>
      </c>
      <c r="G3" s="2" t="n">
        <v>0</v>
      </c>
      <c r="H3" s="5" t="n">
        <f aca="false">F3/220*1.5</f>
        <v>21.8181818181818</v>
      </c>
      <c r="I3" s="5" t="n">
        <f aca="false">G3*H3</f>
        <v>0</v>
      </c>
      <c r="J3" s="4" t="n">
        <v>0</v>
      </c>
      <c r="K3" s="5" t="n">
        <f aca="false">F3+I3+J3</f>
        <v>3200</v>
      </c>
      <c r="L3" s="5" t="n">
        <f aca="false">K3*$B$35</f>
        <v>288</v>
      </c>
      <c r="M3" s="5" t="n">
        <f aca="false">K3-L3</f>
        <v>2912</v>
      </c>
      <c r="N3" s="5" t="n">
        <f aca="false">M3*$B$36</f>
        <v>218.4</v>
      </c>
      <c r="O3" s="5" t="n">
        <f aca="false">F3*$B$37</f>
        <v>192</v>
      </c>
      <c r="P3" s="4" t="n">
        <v>0</v>
      </c>
      <c r="Q3" s="5" t="n">
        <f aca="false">L3+N3+O3+P3</f>
        <v>698.4</v>
      </c>
      <c r="R3" s="5" t="n">
        <f aca="false">K3-Q3</f>
        <v>2501.6</v>
      </c>
    </row>
    <row r="4" customFormat="false" ht="15" hidden="false" customHeight="false" outlineLevel="0" collapsed="false">
      <c r="A4" s="2" t="n">
        <v>3</v>
      </c>
      <c r="B4" s="2" t="s">
        <v>24</v>
      </c>
      <c r="C4" s="2" t="s">
        <v>25</v>
      </c>
      <c r="D4" s="2" t="s">
        <v>23</v>
      </c>
      <c r="E4" s="3" t="n">
        <v>43475</v>
      </c>
      <c r="F4" s="4" t="n">
        <v>7500</v>
      </c>
      <c r="G4" s="2" t="n">
        <v>0</v>
      </c>
      <c r="H4" s="5" t="n">
        <f aca="false">F4/220*1.5</f>
        <v>51.1363636363636</v>
      </c>
      <c r="I4" s="5" t="n">
        <f aca="false">G4*H4</f>
        <v>0</v>
      </c>
      <c r="J4" s="4" t="n">
        <v>900</v>
      </c>
      <c r="K4" s="5" t="n">
        <f aca="false">F4+I4+J4</f>
        <v>8400</v>
      </c>
      <c r="L4" s="5" t="n">
        <f aca="false">K4*$B$35</f>
        <v>756</v>
      </c>
      <c r="M4" s="5" t="n">
        <f aca="false">K4-L4</f>
        <v>7644</v>
      </c>
      <c r="N4" s="5" t="n">
        <f aca="false">M4*$B$36</f>
        <v>573.3</v>
      </c>
      <c r="O4" s="5" t="n">
        <f aca="false">F4*$B$37</f>
        <v>450</v>
      </c>
      <c r="P4" s="4" t="n">
        <v>0</v>
      </c>
      <c r="Q4" s="5" t="n">
        <f aca="false">L4+N4+O4+P4</f>
        <v>1779.3</v>
      </c>
      <c r="R4" s="5" t="n">
        <f aca="false">K4-Q4</f>
        <v>6620.7</v>
      </c>
    </row>
    <row r="5" customFormat="false" ht="15" hidden="false" customHeight="false" outlineLevel="0" collapsed="false">
      <c r="A5" s="2" t="n">
        <v>4</v>
      </c>
      <c r="B5" s="2" t="s">
        <v>26</v>
      </c>
      <c r="C5" s="2" t="s">
        <v>27</v>
      </c>
      <c r="D5" s="2" t="s">
        <v>28</v>
      </c>
      <c r="E5" s="3" t="n">
        <v>43971</v>
      </c>
      <c r="F5" s="4" t="n">
        <v>8900</v>
      </c>
      <c r="G5" s="2" t="n">
        <v>6</v>
      </c>
      <c r="H5" s="5" t="n">
        <f aca="false">F5/220*1.5</f>
        <v>60.6818181818182</v>
      </c>
      <c r="I5" s="5" t="n">
        <f aca="false">G5*H5</f>
        <v>364.090909090909</v>
      </c>
      <c r="J5" s="4" t="n">
        <v>700</v>
      </c>
      <c r="K5" s="5" t="n">
        <f aca="false">F5+I5+J5</f>
        <v>9964.09090909091</v>
      </c>
      <c r="L5" s="5" t="n">
        <f aca="false">K5*$B$35</f>
        <v>896.768181818182</v>
      </c>
      <c r="M5" s="5" t="n">
        <f aca="false">K5-L5</f>
        <v>9067.32272727273</v>
      </c>
      <c r="N5" s="5" t="n">
        <f aca="false">M5*$B$36</f>
        <v>680.049204545455</v>
      </c>
      <c r="O5" s="5" t="n">
        <f aca="false">F5*$B$37</f>
        <v>534</v>
      </c>
      <c r="P5" s="4" t="n">
        <v>0</v>
      </c>
      <c r="Q5" s="5" t="n">
        <f aca="false">L5+N5+O5+P5</f>
        <v>2110.81738636364</v>
      </c>
      <c r="R5" s="5" t="n">
        <f aca="false">K5-Q5</f>
        <v>7853.27352272727</v>
      </c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30</v>
      </c>
      <c r="D6" s="2" t="s">
        <v>28</v>
      </c>
      <c r="E6" s="3" t="n">
        <v>44970</v>
      </c>
      <c r="F6" s="4" t="n">
        <v>7800</v>
      </c>
      <c r="G6" s="2" t="n">
        <v>3</v>
      </c>
      <c r="H6" s="5" t="n">
        <f aca="false">F6/220*1.5</f>
        <v>53.1818181818182</v>
      </c>
      <c r="I6" s="5" t="n">
        <f aca="false">G6*H6</f>
        <v>159.545454545455</v>
      </c>
      <c r="J6" s="4" t="n">
        <v>500</v>
      </c>
      <c r="K6" s="5" t="n">
        <f aca="false">F6+I6+J6</f>
        <v>8459.54545454546</v>
      </c>
      <c r="L6" s="5" t="n">
        <f aca="false">K6*$B$35</f>
        <v>761.359090909091</v>
      </c>
      <c r="M6" s="5" t="n">
        <f aca="false">K6-L6</f>
        <v>7698.18636363637</v>
      </c>
      <c r="N6" s="5" t="n">
        <f aca="false">M6*$B$36</f>
        <v>577.363977272727</v>
      </c>
      <c r="O6" s="5" t="n">
        <f aca="false">F6*$B$37</f>
        <v>468</v>
      </c>
      <c r="P6" s="4" t="n">
        <v>0</v>
      </c>
      <c r="Q6" s="5" t="n">
        <f aca="false">L6+N6+O6+P6</f>
        <v>1806.72306818182</v>
      </c>
      <c r="R6" s="5" t="n">
        <f aca="false">K6-Q6</f>
        <v>6652.82238636364</v>
      </c>
    </row>
    <row r="7" customFormat="false" ht="15" hidden="false" customHeight="false" outlineLevel="0" collapsed="false">
      <c r="A7" s="2" t="n">
        <v>6</v>
      </c>
      <c r="B7" s="2" t="s">
        <v>31</v>
      </c>
      <c r="C7" s="2" t="s">
        <v>32</v>
      </c>
      <c r="D7" s="2" t="s">
        <v>28</v>
      </c>
      <c r="E7" s="3" t="n">
        <v>43347</v>
      </c>
      <c r="F7" s="4" t="n">
        <v>14500</v>
      </c>
      <c r="G7" s="2" t="n">
        <v>0</v>
      </c>
      <c r="H7" s="5" t="n">
        <f aca="false">F7/220*1.5</f>
        <v>98.8636363636364</v>
      </c>
      <c r="I7" s="5" t="n">
        <f aca="false">G7*H7</f>
        <v>0</v>
      </c>
      <c r="J7" s="4" t="n">
        <v>1800</v>
      </c>
      <c r="K7" s="5" t="n">
        <f aca="false">F7+I7+J7</f>
        <v>16300</v>
      </c>
      <c r="L7" s="5" t="n">
        <f aca="false">K7*$B$35</f>
        <v>1467</v>
      </c>
      <c r="M7" s="5" t="n">
        <f aca="false">K7-L7</f>
        <v>14833</v>
      </c>
      <c r="N7" s="5" t="n">
        <f aca="false">M7*$B$36</f>
        <v>1112.475</v>
      </c>
      <c r="O7" s="5" t="n">
        <f aca="false">F7*$B$37</f>
        <v>870</v>
      </c>
      <c r="P7" s="4" t="n">
        <v>0</v>
      </c>
      <c r="Q7" s="5" t="n">
        <f aca="false">L7+N7+O7+P7</f>
        <v>3449.475</v>
      </c>
      <c r="R7" s="5" t="n">
        <f aca="false">K7-Q7</f>
        <v>12850.525</v>
      </c>
    </row>
    <row r="8" customFormat="false" ht="15" hidden="false" customHeight="false" outlineLevel="0" collapsed="false">
      <c r="A8" s="2" t="n">
        <v>7</v>
      </c>
      <c r="B8" s="2" t="s">
        <v>33</v>
      </c>
      <c r="C8" s="2" t="s">
        <v>34</v>
      </c>
      <c r="D8" s="2" t="s">
        <v>35</v>
      </c>
      <c r="E8" s="3" t="n">
        <v>44669</v>
      </c>
      <c r="F8" s="4" t="n">
        <v>5200</v>
      </c>
      <c r="G8" s="2" t="n">
        <v>2</v>
      </c>
      <c r="H8" s="5" t="n">
        <f aca="false">F8/220*1.5</f>
        <v>35.4545454545455</v>
      </c>
      <c r="I8" s="5" t="n">
        <f aca="false">G8*H8</f>
        <v>70.9090909090909</v>
      </c>
      <c r="J8" s="4" t="n">
        <v>400</v>
      </c>
      <c r="K8" s="5" t="n">
        <f aca="false">F8+I8+J8</f>
        <v>5670.90909090909</v>
      </c>
      <c r="L8" s="5" t="n">
        <f aca="false">K8*$B$35</f>
        <v>510.381818181818</v>
      </c>
      <c r="M8" s="5" t="n">
        <f aca="false">K8-L8</f>
        <v>5160.52727272727</v>
      </c>
      <c r="N8" s="5" t="n">
        <f aca="false">M8*$B$36</f>
        <v>387.039545454546</v>
      </c>
      <c r="O8" s="5" t="n">
        <f aca="false">F8*$B$37</f>
        <v>312</v>
      </c>
      <c r="P8" s="4" t="n">
        <v>0</v>
      </c>
      <c r="Q8" s="5" t="n">
        <f aca="false">L8+N8+O8+P8</f>
        <v>1209.42136363636</v>
      </c>
      <c r="R8" s="5" t="n">
        <f aca="false">K8-Q8</f>
        <v>4461.48772727273</v>
      </c>
    </row>
    <row r="9" customFormat="false" ht="15" hidden="false" customHeight="false" outlineLevel="0" collapsed="false">
      <c r="A9" s="2" t="n">
        <v>8</v>
      </c>
      <c r="B9" s="2" t="s">
        <v>36</v>
      </c>
      <c r="C9" s="2" t="s">
        <v>37</v>
      </c>
      <c r="D9" s="2" t="s">
        <v>35</v>
      </c>
      <c r="E9" s="3" t="n">
        <v>44137</v>
      </c>
      <c r="F9" s="4" t="n">
        <v>7900</v>
      </c>
      <c r="G9" s="2" t="n">
        <v>0</v>
      </c>
      <c r="H9" s="5" t="n">
        <f aca="false">F9/220*1.5</f>
        <v>53.8636363636364</v>
      </c>
      <c r="I9" s="5" t="n">
        <f aca="false">G9*H9</f>
        <v>0</v>
      </c>
      <c r="J9" s="4" t="n">
        <v>650</v>
      </c>
      <c r="K9" s="5" t="n">
        <f aca="false">F9+I9+J9</f>
        <v>8550</v>
      </c>
      <c r="L9" s="5" t="n">
        <f aca="false">K9*$B$35</f>
        <v>769.5</v>
      </c>
      <c r="M9" s="5" t="n">
        <f aca="false">K9-L9</f>
        <v>7780.5</v>
      </c>
      <c r="N9" s="5" t="n">
        <f aca="false">M9*$B$36</f>
        <v>583.5375</v>
      </c>
      <c r="O9" s="5" t="n">
        <f aca="false">F9*$B$37</f>
        <v>474</v>
      </c>
      <c r="P9" s="4" t="n">
        <v>0</v>
      </c>
      <c r="Q9" s="5" t="n">
        <f aca="false">L9+N9+O9+P9</f>
        <v>1827.0375</v>
      </c>
      <c r="R9" s="5" t="n">
        <f aca="false">K9-Q9</f>
        <v>6722.9625</v>
      </c>
    </row>
    <row r="10" customFormat="false" ht="15" hidden="false" customHeight="false" outlineLevel="0" collapsed="false">
      <c r="A10" s="2" t="n">
        <v>9</v>
      </c>
      <c r="B10" s="2" t="s">
        <v>38</v>
      </c>
      <c r="C10" s="2" t="s">
        <v>39</v>
      </c>
      <c r="D10" s="2" t="s">
        <v>40</v>
      </c>
      <c r="E10" s="3" t="n">
        <v>44417</v>
      </c>
      <c r="F10" s="4" t="n">
        <v>4800</v>
      </c>
      <c r="G10" s="2" t="n">
        <v>8</v>
      </c>
      <c r="H10" s="5" t="n">
        <f aca="false">F10/220*1.5</f>
        <v>32.7272727272727</v>
      </c>
      <c r="I10" s="5" t="n">
        <f aca="false">G10*H10</f>
        <v>261.818181818182</v>
      </c>
      <c r="J10" s="4" t="n">
        <v>1200</v>
      </c>
      <c r="K10" s="5" t="n">
        <f aca="false">F10+I10+J10</f>
        <v>6261.81818181818</v>
      </c>
      <c r="L10" s="5" t="n">
        <f aca="false">K10*$B$35</f>
        <v>563.563636363636</v>
      </c>
      <c r="M10" s="5" t="n">
        <f aca="false">K10-L10</f>
        <v>5698.25454545455</v>
      </c>
      <c r="N10" s="5" t="n">
        <f aca="false">M10*$B$36</f>
        <v>427.369090909091</v>
      </c>
      <c r="O10" s="5" t="n">
        <f aca="false">F10*$B$37</f>
        <v>288</v>
      </c>
      <c r="P10" s="4" t="n">
        <v>0</v>
      </c>
      <c r="Q10" s="5" t="n">
        <f aca="false">L10+N10+O10+P10</f>
        <v>1278.93272727273</v>
      </c>
      <c r="R10" s="5" t="n">
        <f aca="false">K10-Q10</f>
        <v>4982.88545454546</v>
      </c>
    </row>
    <row r="11" customFormat="false" ht="15" hidden="false" customHeight="false" outlineLevel="0" collapsed="false">
      <c r="A11" s="2" t="n">
        <v>10</v>
      </c>
      <c r="B11" s="2" t="s">
        <v>41</v>
      </c>
      <c r="C11" s="2" t="s">
        <v>42</v>
      </c>
      <c r="D11" s="2" t="s">
        <v>40</v>
      </c>
      <c r="E11" s="3" t="n">
        <v>43639</v>
      </c>
      <c r="F11" s="4" t="n">
        <v>5600</v>
      </c>
      <c r="G11" s="2" t="n">
        <v>10</v>
      </c>
      <c r="H11" s="5" t="n">
        <f aca="false">F11/220*1.5</f>
        <v>38.1818181818182</v>
      </c>
      <c r="I11" s="5" t="n">
        <f aca="false">G11*H11</f>
        <v>381.818181818182</v>
      </c>
      <c r="J11" s="4" t="n">
        <v>1500</v>
      </c>
      <c r="K11" s="5" t="n">
        <f aca="false">F11+I11+J11</f>
        <v>7481.81818181818</v>
      </c>
      <c r="L11" s="5" t="n">
        <f aca="false">K11*$B$35</f>
        <v>673.363636363636</v>
      </c>
      <c r="M11" s="5" t="n">
        <f aca="false">K11-L11</f>
        <v>6808.45454545455</v>
      </c>
      <c r="N11" s="5" t="n">
        <f aca="false">M11*$B$36</f>
        <v>510.634090909091</v>
      </c>
      <c r="O11" s="5" t="n">
        <f aca="false">F11*$B$37</f>
        <v>336</v>
      </c>
      <c r="P11" s="4" t="n">
        <v>0</v>
      </c>
      <c r="Q11" s="5" t="n">
        <f aca="false">L11+N11+O11+P11</f>
        <v>1519.99772727273</v>
      </c>
      <c r="R11" s="5" t="n">
        <f aca="false">K11-Q11</f>
        <v>5961.82045454546</v>
      </c>
    </row>
    <row r="12" customFormat="false" ht="15" hidden="false" customHeight="false" outlineLevel="0" collapsed="false">
      <c r="A12" s="2" t="n">
        <v>11</v>
      </c>
      <c r="B12" s="2" t="s">
        <v>43</v>
      </c>
      <c r="C12" s="2" t="s">
        <v>44</v>
      </c>
      <c r="D12" s="2" t="s">
        <v>40</v>
      </c>
      <c r="E12" s="3" t="n">
        <v>42824</v>
      </c>
      <c r="F12" s="4" t="n">
        <v>13200</v>
      </c>
      <c r="G12" s="2" t="n">
        <v>0</v>
      </c>
      <c r="H12" s="5" t="n">
        <f aca="false">F12/220*1.5</f>
        <v>90</v>
      </c>
      <c r="I12" s="5" t="n">
        <f aca="false">G12*H12</f>
        <v>0</v>
      </c>
      <c r="J12" s="4" t="n">
        <v>2200</v>
      </c>
      <c r="K12" s="5" t="n">
        <f aca="false">F12+I12+J12</f>
        <v>15400</v>
      </c>
      <c r="L12" s="5" t="n">
        <f aca="false">K12*$B$35</f>
        <v>1386</v>
      </c>
      <c r="M12" s="5" t="n">
        <f aca="false">K12-L12</f>
        <v>14014</v>
      </c>
      <c r="N12" s="5" t="n">
        <f aca="false">M12*$B$36</f>
        <v>1051.05</v>
      </c>
      <c r="O12" s="5" t="n">
        <f aca="false">F12*$B$37</f>
        <v>792</v>
      </c>
      <c r="P12" s="4" t="n">
        <v>0</v>
      </c>
      <c r="Q12" s="5" t="n">
        <f aca="false">L12+N12+O12+P12</f>
        <v>3229.05</v>
      </c>
      <c r="R12" s="5" t="n">
        <f aca="false">K12-Q12</f>
        <v>12170.95</v>
      </c>
    </row>
    <row r="13" customFormat="false" ht="15" hidden="false" customHeight="false" outlineLevel="0" collapsed="false">
      <c r="A13" s="2" t="n">
        <v>12</v>
      </c>
      <c r="B13" s="2" t="s">
        <v>45</v>
      </c>
      <c r="C13" s="2" t="s">
        <v>46</v>
      </c>
      <c r="D13" s="2" t="s">
        <v>47</v>
      </c>
      <c r="E13" s="3" t="n">
        <v>44839</v>
      </c>
      <c r="F13" s="4" t="n">
        <v>5100</v>
      </c>
      <c r="G13" s="2" t="n">
        <v>5</v>
      </c>
      <c r="H13" s="5" t="n">
        <f aca="false">F13/220*1.5</f>
        <v>34.7727272727273</v>
      </c>
      <c r="I13" s="5" t="n">
        <f aca="false">G13*H13</f>
        <v>173.863636363636</v>
      </c>
      <c r="J13" s="4" t="n">
        <v>350</v>
      </c>
      <c r="K13" s="5" t="n">
        <f aca="false">F13+I13+J13</f>
        <v>5623.86363636364</v>
      </c>
      <c r="L13" s="5" t="n">
        <f aca="false">K13*$B$35</f>
        <v>506.147727272727</v>
      </c>
      <c r="M13" s="5" t="n">
        <f aca="false">K13-L13</f>
        <v>5117.71590909091</v>
      </c>
      <c r="N13" s="5" t="n">
        <f aca="false">M13*$B$36</f>
        <v>383.828693181818</v>
      </c>
      <c r="O13" s="5" t="n">
        <f aca="false">F13*$B$37</f>
        <v>306</v>
      </c>
      <c r="P13" s="4" t="n">
        <v>0</v>
      </c>
      <c r="Q13" s="5" t="n">
        <f aca="false">L13+N13+O13+P13</f>
        <v>1195.97642045455</v>
      </c>
      <c r="R13" s="5" t="n">
        <f aca="false">K13-Q13</f>
        <v>4427.88721590909</v>
      </c>
    </row>
    <row r="14" customFormat="false" ht="15" hidden="false" customHeight="false" outlineLevel="0" collapsed="false">
      <c r="A14" s="2" t="n">
        <v>13</v>
      </c>
      <c r="B14" s="2" t="s">
        <v>48</v>
      </c>
      <c r="C14" s="2" t="s">
        <v>49</v>
      </c>
      <c r="D14" s="2" t="s">
        <v>47</v>
      </c>
      <c r="E14" s="3" t="n">
        <v>44942</v>
      </c>
      <c r="F14" s="4" t="n">
        <v>3400</v>
      </c>
      <c r="G14" s="2" t="n">
        <v>4</v>
      </c>
      <c r="H14" s="5" t="n">
        <f aca="false">F14/220*1.5</f>
        <v>23.1818181818182</v>
      </c>
      <c r="I14" s="5" t="n">
        <f aca="false">G14*H14</f>
        <v>92.7272727272727</v>
      </c>
      <c r="J14" s="4" t="n">
        <v>200</v>
      </c>
      <c r="K14" s="5" t="n">
        <f aca="false">F14+I14+J14</f>
        <v>3692.72727272727</v>
      </c>
      <c r="L14" s="5" t="n">
        <f aca="false">K14*$B$35</f>
        <v>332.345454545455</v>
      </c>
      <c r="M14" s="5" t="n">
        <f aca="false">K14-L14</f>
        <v>3360.38181818182</v>
      </c>
      <c r="N14" s="5" t="n">
        <f aca="false">M14*$B$36</f>
        <v>252.028636363636</v>
      </c>
      <c r="O14" s="5" t="n">
        <f aca="false">F14*$B$37</f>
        <v>204</v>
      </c>
      <c r="P14" s="4" t="n">
        <v>0</v>
      </c>
      <c r="Q14" s="5" t="n">
        <f aca="false">L14+N14+O14+P14</f>
        <v>788.374090909091</v>
      </c>
      <c r="R14" s="5" t="n">
        <f aca="false">K14-Q14</f>
        <v>2904.35318181818</v>
      </c>
    </row>
    <row r="15" customFormat="false" ht="15" hidden="false" customHeight="false" outlineLevel="0" collapsed="false">
      <c r="A15" s="2" t="n">
        <v>14</v>
      </c>
      <c r="B15" s="2" t="s">
        <v>50</v>
      </c>
      <c r="C15" s="2" t="s">
        <v>51</v>
      </c>
      <c r="D15" s="2" t="s">
        <v>47</v>
      </c>
      <c r="E15" s="3" t="n">
        <v>43888</v>
      </c>
      <c r="F15" s="4" t="n">
        <v>8100</v>
      </c>
      <c r="G15" s="2" t="n">
        <v>0</v>
      </c>
      <c r="H15" s="5" t="n">
        <f aca="false">F15/220*1.5</f>
        <v>55.2272727272727</v>
      </c>
      <c r="I15" s="5" t="n">
        <f aca="false">G15*H15</f>
        <v>0</v>
      </c>
      <c r="J15" s="4" t="n">
        <v>700</v>
      </c>
      <c r="K15" s="5" t="n">
        <f aca="false">F15+I15+J15</f>
        <v>8800</v>
      </c>
      <c r="L15" s="5" t="n">
        <f aca="false">K15*$B$35</f>
        <v>792</v>
      </c>
      <c r="M15" s="5" t="n">
        <f aca="false">K15-L15</f>
        <v>8008</v>
      </c>
      <c r="N15" s="5" t="n">
        <f aca="false">M15*$B$36</f>
        <v>600.6</v>
      </c>
      <c r="O15" s="5" t="n">
        <f aca="false">F15*$B$37</f>
        <v>486</v>
      </c>
      <c r="P15" s="4" t="n">
        <v>0</v>
      </c>
      <c r="Q15" s="5" t="n">
        <f aca="false">L15+N15+O15+P15</f>
        <v>1878.6</v>
      </c>
      <c r="R15" s="5" t="n">
        <f aca="false">K15-Q15</f>
        <v>6921.4</v>
      </c>
    </row>
    <row r="16" customFormat="false" ht="15" hidden="false" customHeight="false" outlineLevel="0" collapsed="false">
      <c r="A16" s="2" t="n">
        <v>15</v>
      </c>
      <c r="B16" s="2" t="s">
        <v>52</v>
      </c>
      <c r="C16" s="2" t="s">
        <v>53</v>
      </c>
      <c r="D16" s="2" t="s">
        <v>35</v>
      </c>
      <c r="E16" s="3" t="n">
        <v>45352</v>
      </c>
      <c r="F16" s="4" t="n">
        <v>1800</v>
      </c>
      <c r="G16" s="2" t="n">
        <v>0</v>
      </c>
      <c r="H16" s="5" t="n">
        <f aca="false">F16/220*1.5</f>
        <v>12.2727272727273</v>
      </c>
      <c r="I16" s="5" t="n">
        <f aca="false">G16*H16</f>
        <v>0</v>
      </c>
      <c r="J16" s="4" t="n">
        <v>0</v>
      </c>
      <c r="K16" s="5" t="n">
        <f aca="false">F16+I16+J16</f>
        <v>1800</v>
      </c>
      <c r="L16" s="5" t="n">
        <f aca="false">K16*$B$35</f>
        <v>162</v>
      </c>
      <c r="M16" s="5" t="n">
        <f aca="false">K16-L16</f>
        <v>1638</v>
      </c>
      <c r="N16" s="5" t="n">
        <f aca="false">M16*$B$36</f>
        <v>122.85</v>
      </c>
      <c r="O16" s="5" t="n">
        <f aca="false">F16*$B$37</f>
        <v>108</v>
      </c>
      <c r="P16" s="4" t="n">
        <v>0</v>
      </c>
      <c r="Q16" s="5" t="n">
        <f aca="false">L16+N16+O16+P16</f>
        <v>392.85</v>
      </c>
      <c r="R16" s="5" t="n">
        <f aca="false">K16-Q16</f>
        <v>1407.15</v>
      </c>
    </row>
    <row r="17" customFormat="false" ht="15" hidden="false" customHeight="false" outlineLevel="0" collapsed="false">
      <c r="A17" s="2" t="n">
        <v>16</v>
      </c>
      <c r="B17" s="2" t="s">
        <v>54</v>
      </c>
      <c r="C17" s="2" t="s">
        <v>55</v>
      </c>
      <c r="D17" s="2" t="s">
        <v>28</v>
      </c>
      <c r="E17" s="3" t="n">
        <v>45453</v>
      </c>
      <c r="F17" s="4" t="n">
        <v>2000</v>
      </c>
      <c r="G17" s="2" t="n">
        <v>0</v>
      </c>
      <c r="H17" s="5" t="n">
        <f aca="false">F17/220*1.5</f>
        <v>13.6363636363636</v>
      </c>
      <c r="I17" s="5" t="n">
        <f aca="false">G17*H17</f>
        <v>0</v>
      </c>
      <c r="J17" s="4" t="n">
        <v>0</v>
      </c>
      <c r="K17" s="5" t="n">
        <f aca="false">F17+I17+J17</f>
        <v>2000</v>
      </c>
      <c r="L17" s="5" t="n">
        <f aca="false">K17*$B$35</f>
        <v>180</v>
      </c>
      <c r="M17" s="5" t="n">
        <f aca="false">K17-L17</f>
        <v>1820</v>
      </c>
      <c r="N17" s="5" t="n">
        <f aca="false">M17*$B$36</f>
        <v>136.5</v>
      </c>
      <c r="O17" s="5" t="n">
        <f aca="false">F17*$B$37</f>
        <v>120</v>
      </c>
      <c r="P17" s="4" t="n">
        <v>0</v>
      </c>
      <c r="Q17" s="5" t="n">
        <f aca="false">L17+N17+O17+P17</f>
        <v>436.5</v>
      </c>
      <c r="R17" s="5" t="n">
        <f aca="false">K17-Q17</f>
        <v>1563.5</v>
      </c>
    </row>
    <row r="18" customFormat="false" ht="15" hidden="false" customHeight="false" outlineLevel="0" collapsed="false">
      <c r="A18" s="2" t="n">
        <v>17</v>
      </c>
      <c r="B18" s="2" t="s">
        <v>56</v>
      </c>
      <c r="C18" s="2" t="s">
        <v>19</v>
      </c>
      <c r="D18" s="2" t="s">
        <v>20</v>
      </c>
      <c r="E18" s="3" t="n">
        <v>44537</v>
      </c>
      <c r="F18" s="4" t="n">
        <v>5800</v>
      </c>
      <c r="G18" s="2" t="n">
        <v>3</v>
      </c>
      <c r="H18" s="5" t="n">
        <f aca="false">F18/220*1.5</f>
        <v>39.5454545454546</v>
      </c>
      <c r="I18" s="5" t="n">
        <f aca="false">G18*H18</f>
        <v>118.636363636364</v>
      </c>
      <c r="J18" s="4" t="n">
        <v>450</v>
      </c>
      <c r="K18" s="5" t="n">
        <f aca="false">F18+I18+J18</f>
        <v>6368.63636363636</v>
      </c>
      <c r="L18" s="5" t="n">
        <f aca="false">K18*$B$35</f>
        <v>573.177272727273</v>
      </c>
      <c r="M18" s="5" t="n">
        <f aca="false">K18-L18</f>
        <v>5795.45909090909</v>
      </c>
      <c r="N18" s="5" t="n">
        <f aca="false">M18*$B$36</f>
        <v>434.659431818182</v>
      </c>
      <c r="O18" s="5" t="n">
        <f aca="false">F18*$B$37</f>
        <v>348</v>
      </c>
      <c r="P18" s="4" t="n">
        <v>0</v>
      </c>
      <c r="Q18" s="5" t="n">
        <f aca="false">L18+N18+O18+P18</f>
        <v>1355.83670454545</v>
      </c>
      <c r="R18" s="5" t="n">
        <f aca="false">K18-Q18</f>
        <v>5012.79965909091</v>
      </c>
    </row>
    <row r="19" customFormat="false" ht="15" hidden="false" customHeight="false" outlineLevel="0" collapsed="false">
      <c r="A19" s="2" t="n">
        <v>18</v>
      </c>
      <c r="B19" s="2" t="s">
        <v>57</v>
      </c>
      <c r="C19" s="2" t="s">
        <v>58</v>
      </c>
      <c r="D19" s="2" t="s">
        <v>20</v>
      </c>
      <c r="E19" s="3" t="n">
        <v>44823</v>
      </c>
      <c r="F19" s="4" t="n">
        <v>3400</v>
      </c>
      <c r="G19" s="2" t="n">
        <v>2</v>
      </c>
      <c r="H19" s="5" t="n">
        <f aca="false">F19/220*1.5</f>
        <v>23.1818181818182</v>
      </c>
      <c r="I19" s="5" t="n">
        <f aca="false">G19*H19</f>
        <v>46.3636363636364</v>
      </c>
      <c r="J19" s="4" t="n">
        <v>150</v>
      </c>
      <c r="K19" s="5" t="n">
        <f aca="false">F19+I19+J19</f>
        <v>3596.36363636364</v>
      </c>
      <c r="L19" s="5" t="n">
        <f aca="false">K19*$B$35</f>
        <v>323.672727272727</v>
      </c>
      <c r="M19" s="5" t="n">
        <f aca="false">K19-L19</f>
        <v>3272.69090909091</v>
      </c>
      <c r="N19" s="5" t="n">
        <f aca="false">M19*$B$36</f>
        <v>245.451818181818</v>
      </c>
      <c r="O19" s="5" t="n">
        <f aca="false">F19*$B$37</f>
        <v>204</v>
      </c>
      <c r="P19" s="4" t="n">
        <v>0</v>
      </c>
      <c r="Q19" s="5" t="n">
        <f aca="false">L19+N19+O19+P19</f>
        <v>773.124545454546</v>
      </c>
      <c r="R19" s="5" t="n">
        <f aca="false">K19-Q19</f>
        <v>2823.23909090909</v>
      </c>
    </row>
    <row r="20" customFormat="false" ht="15" hidden="false" customHeight="false" outlineLevel="0" collapsed="false">
      <c r="A20" s="2" t="n">
        <v>19</v>
      </c>
      <c r="B20" s="2" t="s">
        <v>59</v>
      </c>
      <c r="C20" s="2" t="s">
        <v>60</v>
      </c>
      <c r="D20" s="2" t="s">
        <v>20</v>
      </c>
      <c r="E20" s="3" t="n">
        <v>43213</v>
      </c>
      <c r="F20" s="4" t="n">
        <v>15200</v>
      </c>
      <c r="G20" s="2" t="n">
        <v>0</v>
      </c>
      <c r="H20" s="5" t="n">
        <f aca="false">F20/220*1.5</f>
        <v>103.636363636364</v>
      </c>
      <c r="I20" s="5" t="n">
        <f aca="false">G20*H20</f>
        <v>0</v>
      </c>
      <c r="J20" s="4" t="n">
        <v>2000</v>
      </c>
      <c r="K20" s="5" t="n">
        <f aca="false">F20+I20+J20</f>
        <v>17200</v>
      </c>
      <c r="L20" s="5" t="n">
        <f aca="false">K20*$B$35</f>
        <v>1548</v>
      </c>
      <c r="M20" s="5" t="n">
        <f aca="false">K20-L20</f>
        <v>15652</v>
      </c>
      <c r="N20" s="5" t="n">
        <f aca="false">M20*$B$36</f>
        <v>1173.9</v>
      </c>
      <c r="O20" s="5" t="n">
        <f aca="false">F20*$B$37</f>
        <v>912</v>
      </c>
      <c r="P20" s="4" t="n">
        <v>0</v>
      </c>
      <c r="Q20" s="5" t="n">
        <f aca="false">L20+N20+O20+P20</f>
        <v>3633.9</v>
      </c>
      <c r="R20" s="5" t="n">
        <f aca="false">K20-Q20</f>
        <v>13566.1</v>
      </c>
    </row>
    <row r="21" customFormat="false" ht="15" hidden="false" customHeight="false" outlineLevel="0" collapsed="false">
      <c r="A21" s="2" t="n">
        <v>20</v>
      </c>
      <c r="B21" s="2" t="s">
        <v>61</v>
      </c>
      <c r="C21" s="2" t="s">
        <v>62</v>
      </c>
      <c r="D21" s="2" t="s">
        <v>28</v>
      </c>
      <c r="E21" s="3" t="n">
        <v>44327</v>
      </c>
      <c r="F21" s="4" t="n">
        <v>9200</v>
      </c>
      <c r="G21" s="2" t="n">
        <v>7</v>
      </c>
      <c r="H21" s="5" t="n">
        <f aca="false">F21/220*1.5</f>
        <v>62.7272727272727</v>
      </c>
      <c r="I21" s="5" t="n">
        <f aca="false">G21*H21</f>
        <v>439.090909090909</v>
      </c>
      <c r="J21" s="4" t="n">
        <v>800</v>
      </c>
      <c r="K21" s="5" t="n">
        <f aca="false">F21+I21+J21</f>
        <v>10439.0909090909</v>
      </c>
      <c r="L21" s="5" t="n">
        <f aca="false">K21*$B$35</f>
        <v>939.518181818182</v>
      </c>
      <c r="M21" s="5" t="n">
        <f aca="false">K21-L21</f>
        <v>9499.57272727273</v>
      </c>
      <c r="N21" s="5" t="n">
        <f aca="false">M21*$B$36</f>
        <v>712.467954545455</v>
      </c>
      <c r="O21" s="5" t="n">
        <f aca="false">F21*$B$37</f>
        <v>552</v>
      </c>
      <c r="P21" s="4" t="n">
        <v>0</v>
      </c>
      <c r="Q21" s="5" t="n">
        <f aca="false">L21+N21+O21+P21</f>
        <v>2203.98613636364</v>
      </c>
      <c r="R21" s="5" t="n">
        <f aca="false">K21-Q21</f>
        <v>8235.10477272727</v>
      </c>
    </row>
    <row r="22" customFormat="false" ht="15" hidden="false" customHeight="false" outlineLevel="0" collapsed="false">
      <c r="A22" s="2" t="n">
        <v>21</v>
      </c>
      <c r="B22" s="2" t="s">
        <v>63</v>
      </c>
      <c r="C22" s="2" t="s">
        <v>64</v>
      </c>
      <c r="D22" s="2" t="s">
        <v>23</v>
      </c>
      <c r="E22" s="3" t="n">
        <v>44606</v>
      </c>
      <c r="F22" s="4" t="n">
        <v>5000</v>
      </c>
      <c r="G22" s="2" t="n">
        <v>1</v>
      </c>
      <c r="H22" s="5" t="n">
        <f aca="false">F22/220*1.5</f>
        <v>34.0909090909091</v>
      </c>
      <c r="I22" s="5" t="n">
        <f aca="false">G22*H22</f>
        <v>34.0909090909091</v>
      </c>
      <c r="J22" s="4" t="n">
        <v>300</v>
      </c>
      <c r="K22" s="5" t="n">
        <f aca="false">F22+I22+J22</f>
        <v>5334.09090909091</v>
      </c>
      <c r="L22" s="5" t="n">
        <f aca="false">K22*$B$35</f>
        <v>480.068181818182</v>
      </c>
      <c r="M22" s="5" t="n">
        <f aca="false">K22-L22</f>
        <v>4854.02272727273</v>
      </c>
      <c r="N22" s="5" t="n">
        <f aca="false">M22*$B$36</f>
        <v>364.051704545455</v>
      </c>
      <c r="O22" s="5" t="n">
        <f aca="false">F22*$B$37</f>
        <v>300</v>
      </c>
      <c r="P22" s="4" t="n">
        <v>0</v>
      </c>
      <c r="Q22" s="5" t="n">
        <f aca="false">L22+N22+O22+P22</f>
        <v>1144.11988636364</v>
      </c>
      <c r="R22" s="5" t="n">
        <f aca="false">K22-Q22</f>
        <v>4189.97102272727</v>
      </c>
    </row>
    <row r="23" customFormat="false" ht="15" hidden="false" customHeight="false" outlineLevel="0" collapsed="false">
      <c r="A23" s="2" t="n">
        <v>22</v>
      </c>
      <c r="B23" s="2" t="s">
        <v>65</v>
      </c>
      <c r="C23" s="2" t="s">
        <v>66</v>
      </c>
      <c r="D23" s="2" t="s">
        <v>47</v>
      </c>
      <c r="E23" s="3" t="n">
        <v>42583</v>
      </c>
      <c r="F23" s="4" t="n">
        <v>22000</v>
      </c>
      <c r="G23" s="2" t="n">
        <v>0</v>
      </c>
      <c r="H23" s="5" t="n">
        <f aca="false">F23/220*1.5</f>
        <v>150</v>
      </c>
      <c r="I23" s="5" t="n">
        <f aca="false">G23*H23</f>
        <v>0</v>
      </c>
      <c r="J23" s="4" t="n">
        <v>3500</v>
      </c>
      <c r="K23" s="5" t="n">
        <f aca="false">F23+I23+J23</f>
        <v>25500</v>
      </c>
      <c r="L23" s="5" t="n">
        <f aca="false">K23*$B$35</f>
        <v>2295</v>
      </c>
      <c r="M23" s="5" t="n">
        <f aca="false">K23-L23</f>
        <v>23205</v>
      </c>
      <c r="N23" s="5" t="n">
        <f aca="false">M23*$B$36</f>
        <v>1740.375</v>
      </c>
      <c r="O23" s="5" t="n">
        <f aca="false">F23*$B$37</f>
        <v>1320</v>
      </c>
      <c r="P23" s="4" t="n">
        <v>0</v>
      </c>
      <c r="Q23" s="5" t="n">
        <f aca="false">L23+N23+O23+P23</f>
        <v>5355.375</v>
      </c>
      <c r="R23" s="5" t="n">
        <f aca="false">K23-Q23</f>
        <v>20144.625</v>
      </c>
    </row>
    <row r="24" customFormat="false" ht="15" hidden="false" customHeight="false" outlineLevel="0" collapsed="false">
      <c r="A24" s="2" t="n">
        <v>23</v>
      </c>
      <c r="B24" s="2" t="s">
        <v>67</v>
      </c>
      <c r="C24" s="2" t="s">
        <v>34</v>
      </c>
      <c r="D24" s="2" t="s">
        <v>35</v>
      </c>
      <c r="E24" s="3" t="n">
        <v>45068</v>
      </c>
      <c r="F24" s="4" t="n">
        <v>5200</v>
      </c>
      <c r="G24" s="2" t="n">
        <v>4</v>
      </c>
      <c r="H24" s="5" t="n">
        <f aca="false">F24/220*1.5</f>
        <v>35.4545454545455</v>
      </c>
      <c r="I24" s="5" t="n">
        <f aca="false">G24*H24</f>
        <v>141.818181818182</v>
      </c>
      <c r="J24" s="4" t="n">
        <v>400</v>
      </c>
      <c r="K24" s="5" t="n">
        <f aca="false">F24+I24+J24</f>
        <v>5741.81818181818</v>
      </c>
      <c r="L24" s="5" t="n">
        <f aca="false">K24*$B$35</f>
        <v>516.763636363636</v>
      </c>
      <c r="M24" s="5" t="n">
        <f aca="false">K24-L24</f>
        <v>5225.05454545455</v>
      </c>
      <c r="N24" s="5" t="n">
        <f aca="false">M24*$B$36</f>
        <v>391.879090909091</v>
      </c>
      <c r="O24" s="5" t="n">
        <f aca="false">F24*$B$37</f>
        <v>312</v>
      </c>
      <c r="P24" s="4" t="n">
        <v>0</v>
      </c>
      <c r="Q24" s="5" t="n">
        <f aca="false">L24+N24+O24+P24</f>
        <v>1220.64272727273</v>
      </c>
      <c r="R24" s="5" t="n">
        <f aca="false">K24-Q24</f>
        <v>4521.17545454546</v>
      </c>
    </row>
    <row r="25" customFormat="false" ht="15" hidden="false" customHeight="false" outlineLevel="0" collapsed="false">
      <c r="A25" s="2" t="n">
        <v>24</v>
      </c>
      <c r="B25" s="2" t="s">
        <v>68</v>
      </c>
      <c r="C25" s="2" t="s">
        <v>69</v>
      </c>
      <c r="D25" s="2" t="s">
        <v>40</v>
      </c>
      <c r="E25" s="3" t="n">
        <v>45141</v>
      </c>
      <c r="F25" s="4" t="n">
        <v>3200</v>
      </c>
      <c r="G25" s="2" t="n">
        <v>6</v>
      </c>
      <c r="H25" s="5" t="n">
        <f aca="false">F25/220*1.5</f>
        <v>21.8181818181818</v>
      </c>
      <c r="I25" s="5" t="n">
        <f aca="false">G25*H25</f>
        <v>130.909090909091</v>
      </c>
      <c r="J25" s="4" t="n">
        <v>500</v>
      </c>
      <c r="K25" s="5" t="n">
        <f aca="false">F25+I25+J25</f>
        <v>3830.90909090909</v>
      </c>
      <c r="L25" s="5" t="n">
        <f aca="false">K25*$B$35</f>
        <v>344.781818181818</v>
      </c>
      <c r="M25" s="5" t="n">
        <f aca="false">K25-L25</f>
        <v>3486.12727272727</v>
      </c>
      <c r="N25" s="5" t="n">
        <f aca="false">M25*$B$36</f>
        <v>261.459545454545</v>
      </c>
      <c r="O25" s="5" t="n">
        <f aca="false">F25*$B$37</f>
        <v>192</v>
      </c>
      <c r="P25" s="4" t="n">
        <v>0</v>
      </c>
      <c r="Q25" s="5" t="n">
        <f aca="false">L25+N25+O25+P25</f>
        <v>798.241363636364</v>
      </c>
      <c r="R25" s="5" t="n">
        <f aca="false">K25-Q25</f>
        <v>3032.66772727273</v>
      </c>
    </row>
    <row r="26" customFormat="false" ht="15" hidden="false" customHeight="false" outlineLevel="0" collapsed="false">
      <c r="A26" s="2" t="n">
        <v>25</v>
      </c>
      <c r="B26" s="2" t="s">
        <v>70</v>
      </c>
      <c r="C26" s="2" t="s">
        <v>46</v>
      </c>
      <c r="D26" s="2" t="s">
        <v>47</v>
      </c>
      <c r="E26" s="3" t="n">
        <v>44529</v>
      </c>
      <c r="F26" s="4" t="n">
        <v>5100</v>
      </c>
      <c r="G26" s="2" t="n">
        <v>2</v>
      </c>
      <c r="H26" s="5" t="n">
        <f aca="false">F26/220*1.5</f>
        <v>34.7727272727273</v>
      </c>
      <c r="I26" s="5" t="n">
        <f aca="false">G26*H26</f>
        <v>69.5454545454546</v>
      </c>
      <c r="J26" s="4" t="n">
        <v>250</v>
      </c>
      <c r="K26" s="5" t="n">
        <f aca="false">F26+I26+J26</f>
        <v>5419.54545454546</v>
      </c>
      <c r="L26" s="5" t="n">
        <f aca="false">K26*$B$35</f>
        <v>487.759090909091</v>
      </c>
      <c r="M26" s="5" t="n">
        <f aca="false">K26-L26</f>
        <v>4931.78636363636</v>
      </c>
      <c r="N26" s="5" t="n">
        <f aca="false">M26*$B$36</f>
        <v>369.883977272727</v>
      </c>
      <c r="O26" s="5" t="n">
        <f aca="false">F26*$B$37</f>
        <v>306</v>
      </c>
      <c r="P26" s="4" t="n">
        <v>0</v>
      </c>
      <c r="Q26" s="5" t="n">
        <f aca="false">L26+N26+O26+P26</f>
        <v>1163.64306818182</v>
      </c>
      <c r="R26" s="5" t="n">
        <f aca="false">K26-Q26</f>
        <v>4255.90238636364</v>
      </c>
    </row>
    <row r="27" customFormat="false" ht="15" hidden="false" customHeight="false" outlineLevel="0" collapsed="false">
      <c r="A27" s="2" t="n">
        <v>26</v>
      </c>
      <c r="B27" s="2" t="s">
        <v>71</v>
      </c>
      <c r="C27" s="2" t="s">
        <v>72</v>
      </c>
      <c r="D27" s="2" t="s">
        <v>20</v>
      </c>
      <c r="E27" s="3" t="n">
        <v>43753</v>
      </c>
      <c r="F27" s="4" t="n">
        <v>8300</v>
      </c>
      <c r="G27" s="2" t="n">
        <v>0</v>
      </c>
      <c r="H27" s="5" t="n">
        <f aca="false">F27/220*1.5</f>
        <v>56.5909090909091</v>
      </c>
      <c r="I27" s="5" t="n">
        <f aca="false">G27*H27</f>
        <v>0</v>
      </c>
      <c r="J27" s="4" t="n">
        <v>750</v>
      </c>
      <c r="K27" s="5" t="n">
        <f aca="false">F27+I27+J27</f>
        <v>9050</v>
      </c>
      <c r="L27" s="5" t="n">
        <f aca="false">K27*$B$35</f>
        <v>814.5</v>
      </c>
      <c r="M27" s="5" t="n">
        <f aca="false">K27-L27</f>
        <v>8235.5</v>
      </c>
      <c r="N27" s="5" t="n">
        <f aca="false">M27*$B$36</f>
        <v>617.6625</v>
      </c>
      <c r="O27" s="5" t="n">
        <f aca="false">F27*$B$37</f>
        <v>498</v>
      </c>
      <c r="P27" s="4" t="n">
        <v>0</v>
      </c>
      <c r="Q27" s="5" t="n">
        <f aca="false">L27+N27+O27+P27</f>
        <v>1930.1625</v>
      </c>
      <c r="R27" s="5" t="n">
        <f aca="false">K27-Q27</f>
        <v>7119.8375</v>
      </c>
    </row>
    <row r="28" customFormat="false" ht="15" hidden="false" customHeight="false" outlineLevel="0" collapsed="false">
      <c r="A28" s="2" t="n">
        <v>27</v>
      </c>
      <c r="B28" s="2" t="s">
        <v>73</v>
      </c>
      <c r="C28" s="2" t="s">
        <v>27</v>
      </c>
      <c r="D28" s="2" t="s">
        <v>28</v>
      </c>
      <c r="E28" s="3" t="n">
        <v>44585</v>
      </c>
      <c r="F28" s="4" t="n">
        <v>8900</v>
      </c>
      <c r="G28" s="2" t="n">
        <v>5</v>
      </c>
      <c r="H28" s="5" t="n">
        <f aca="false">F28/220*1.5</f>
        <v>60.6818181818182</v>
      </c>
      <c r="I28" s="5" t="n">
        <f aca="false">G28*H28</f>
        <v>303.409090909091</v>
      </c>
      <c r="J28" s="4" t="n">
        <v>600</v>
      </c>
      <c r="K28" s="5" t="n">
        <f aca="false">F28+I28+J28</f>
        <v>9803.40909090909</v>
      </c>
      <c r="L28" s="5" t="n">
        <f aca="false">K28*$B$35</f>
        <v>882.306818181818</v>
      </c>
      <c r="M28" s="5" t="n">
        <f aca="false">K28-L28</f>
        <v>8921.10227272727</v>
      </c>
      <c r="N28" s="5" t="n">
        <f aca="false">M28*$B$36</f>
        <v>669.082670454545</v>
      </c>
      <c r="O28" s="5" t="n">
        <f aca="false">F28*$B$37</f>
        <v>534</v>
      </c>
      <c r="P28" s="4" t="n">
        <v>0</v>
      </c>
      <c r="Q28" s="5" t="n">
        <f aca="false">L28+N28+O28+P28</f>
        <v>2085.38948863636</v>
      </c>
      <c r="R28" s="5" t="n">
        <f aca="false">K28-Q28</f>
        <v>7718.01960227273</v>
      </c>
    </row>
    <row r="29" customFormat="false" ht="15" hidden="false" customHeight="false" outlineLevel="0" collapsed="false">
      <c r="A29" s="2" t="n">
        <v>28</v>
      </c>
      <c r="B29" s="2" t="s">
        <v>74</v>
      </c>
      <c r="C29" s="2" t="s">
        <v>64</v>
      </c>
      <c r="D29" s="2" t="s">
        <v>23</v>
      </c>
      <c r="E29" s="3" t="n">
        <v>43990</v>
      </c>
      <c r="F29" s="4" t="n">
        <v>5000</v>
      </c>
      <c r="G29" s="2" t="n">
        <v>0</v>
      </c>
      <c r="H29" s="5" t="n">
        <f aca="false">F29/220*1.5</f>
        <v>34.0909090909091</v>
      </c>
      <c r="I29" s="5" t="n">
        <f aca="false">G29*H29</f>
        <v>0</v>
      </c>
      <c r="J29" s="4" t="n">
        <v>300</v>
      </c>
      <c r="K29" s="5" t="n">
        <f aca="false">F29+I29+J29</f>
        <v>5300</v>
      </c>
      <c r="L29" s="5" t="n">
        <f aca="false">K29*$B$35</f>
        <v>477</v>
      </c>
      <c r="M29" s="5" t="n">
        <f aca="false">K29-L29</f>
        <v>4823</v>
      </c>
      <c r="N29" s="5" t="n">
        <f aca="false">M29*$B$36</f>
        <v>361.725</v>
      </c>
      <c r="O29" s="5" t="n">
        <f aca="false">F29*$B$37</f>
        <v>300</v>
      </c>
      <c r="P29" s="4" t="n">
        <v>0</v>
      </c>
      <c r="Q29" s="5" t="n">
        <f aca="false">L29+N29+O29+P29</f>
        <v>1138.725</v>
      </c>
      <c r="R29" s="5" t="n">
        <f aca="false">K29-Q29</f>
        <v>4161.275</v>
      </c>
    </row>
    <row r="30" customFormat="false" ht="15" hidden="false" customHeight="false" outlineLevel="0" collapsed="false">
      <c r="A30" s="2" t="n">
        <v>29</v>
      </c>
      <c r="B30" s="2" t="s">
        <v>75</v>
      </c>
      <c r="C30" s="2" t="s">
        <v>76</v>
      </c>
      <c r="D30" s="2" t="s">
        <v>40</v>
      </c>
      <c r="E30" s="3" t="n">
        <v>45181</v>
      </c>
      <c r="F30" s="4" t="n">
        <v>4200</v>
      </c>
      <c r="G30" s="2" t="n">
        <v>9</v>
      </c>
      <c r="H30" s="5" t="n">
        <f aca="false">F30/220*1.5</f>
        <v>28.6363636363636</v>
      </c>
      <c r="I30" s="5" t="n">
        <f aca="false">G30*H30</f>
        <v>257.727272727273</v>
      </c>
      <c r="J30" s="4" t="n">
        <v>900</v>
      </c>
      <c r="K30" s="5" t="n">
        <f aca="false">F30+I30+J30</f>
        <v>5357.72727272727</v>
      </c>
      <c r="L30" s="5" t="n">
        <f aca="false">K30*$B$35</f>
        <v>482.195454545455</v>
      </c>
      <c r="M30" s="5" t="n">
        <f aca="false">K30-L30</f>
        <v>4875.53181818182</v>
      </c>
      <c r="N30" s="5" t="n">
        <f aca="false">M30*$B$36</f>
        <v>365.664886363636</v>
      </c>
      <c r="O30" s="5" t="n">
        <f aca="false">F30*$B$37</f>
        <v>252</v>
      </c>
      <c r="P30" s="4" t="n">
        <v>0</v>
      </c>
      <c r="Q30" s="5" t="n">
        <f aca="false">L30+N30+O30+P30</f>
        <v>1099.86034090909</v>
      </c>
      <c r="R30" s="5" t="n">
        <f aca="false">K30-Q30</f>
        <v>4257.86693181818</v>
      </c>
    </row>
    <row r="31" customFormat="false" ht="15" hidden="false" customHeight="false" outlineLevel="0" collapsed="false">
      <c r="A31" s="2" t="n">
        <v>30</v>
      </c>
      <c r="B31" s="2" t="s">
        <v>77</v>
      </c>
      <c r="C31" s="2" t="s">
        <v>78</v>
      </c>
      <c r="D31" s="2" t="s">
        <v>35</v>
      </c>
      <c r="E31" s="3" t="n">
        <v>43070</v>
      </c>
      <c r="F31" s="4" t="n">
        <v>21000</v>
      </c>
      <c r="G31" s="2" t="n">
        <v>0</v>
      </c>
      <c r="H31" s="5" t="n">
        <f aca="false">F31/220*1.5</f>
        <v>143.181818181818</v>
      </c>
      <c r="I31" s="5" t="n">
        <f aca="false">G31*H31</f>
        <v>0</v>
      </c>
      <c r="J31" s="4" t="n">
        <v>3200</v>
      </c>
      <c r="K31" s="5" t="n">
        <f aca="false">F31+I31+J31</f>
        <v>24200</v>
      </c>
      <c r="L31" s="5" t="n">
        <f aca="false">K31*$B$35</f>
        <v>2178</v>
      </c>
      <c r="M31" s="5" t="n">
        <f aca="false">K31-L31</f>
        <v>22022</v>
      </c>
      <c r="N31" s="5" t="n">
        <f aca="false">M31*$B$36</f>
        <v>1651.65</v>
      </c>
      <c r="O31" s="5" t="n">
        <f aca="false">F31*$B$37</f>
        <v>1260</v>
      </c>
      <c r="P31" s="4" t="n">
        <v>0</v>
      </c>
      <c r="Q31" s="5" t="n">
        <f aca="false">L31+N31+O31+P31</f>
        <v>5089.65</v>
      </c>
      <c r="R31" s="5" t="n">
        <f aca="false">K31-Q31</f>
        <v>19110.35</v>
      </c>
    </row>
    <row r="32" customFormat="false" ht="15" hidden="false" customHeight="false" outlineLevel="0" collapsed="false">
      <c r="A32" s="6"/>
      <c r="B32" s="7" t="s">
        <v>79</v>
      </c>
      <c r="C32" s="6"/>
      <c r="D32" s="6"/>
      <c r="E32" s="6"/>
      <c r="F32" s="8" t="n">
        <f aca="false">SUM(F2:F31)</f>
        <v>226300</v>
      </c>
      <c r="G32" s="6"/>
      <c r="H32" s="6"/>
      <c r="I32" s="8" t="n">
        <f aca="false">SUM(I2:I31)</f>
        <v>3204.54545454545</v>
      </c>
      <c r="J32" s="8" t="n">
        <f aca="false">SUM(J2:J31)</f>
        <v>25800</v>
      </c>
      <c r="K32" s="8" t="n">
        <f aca="false">SUM(K2:K31)</f>
        <v>255304.545454545</v>
      </c>
      <c r="L32" s="8" t="n">
        <f aca="false">SUM(L2:L31)</f>
        <v>22977.4090909091</v>
      </c>
      <c r="M32" s="6"/>
      <c r="N32" s="8" t="n">
        <f aca="false">SUM(N2:N31)</f>
        <v>17424.5352272727</v>
      </c>
      <c r="O32" s="8" t="n">
        <f aca="false">SUM(O2:O31)</f>
        <v>13578</v>
      </c>
      <c r="P32" s="8" t="n">
        <f aca="false">SUM(P2:P31)</f>
        <v>0</v>
      </c>
      <c r="Q32" s="8" t="n">
        <f aca="false">SUM(Q2:Q31)</f>
        <v>53979.9443181818</v>
      </c>
      <c r="R32" s="8" t="n">
        <f aca="false">SUM(R2:R31)</f>
        <v>201324.601136364</v>
      </c>
    </row>
    <row r="34" customFormat="false" ht="15" hidden="false" customHeight="false" outlineLevel="0" collapsed="false">
      <c r="A34" s="9" t="s">
        <v>80</v>
      </c>
    </row>
    <row r="35" customFormat="false" ht="15" hidden="false" customHeight="false" outlineLevel="0" collapsed="false">
      <c r="A35" s="10" t="s">
        <v>81</v>
      </c>
      <c r="B35" s="11" t="n">
        <v>0.09</v>
      </c>
    </row>
    <row r="36" customFormat="false" ht="15" hidden="false" customHeight="false" outlineLevel="0" collapsed="false">
      <c r="A36" s="10" t="s">
        <v>82</v>
      </c>
      <c r="B36" s="11" t="n">
        <v>0.075</v>
      </c>
    </row>
    <row r="37" customFormat="false" ht="15" hidden="false" customHeight="false" outlineLevel="0" collapsed="false">
      <c r="A37" s="10" t="s">
        <v>83</v>
      </c>
      <c r="B37" s="11" t="n">
        <v>0.06</v>
      </c>
    </row>
    <row r="38" customFormat="false" ht="15" hidden="false" customHeight="false" outlineLevel="0" collapsed="false">
      <c r="A38" s="1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2026-08-29T18:08:16Z</dcterms:created>
  <dc:creator>openpyxl</dc:creator>
  <dc:description/>
  <dc:language>en-US</dc:language>
  <cp:lastModifiedBy/>
  <dcterms:modified xsi:type="dcterms:W3CDTF">2026-08-29T18:08:16Z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